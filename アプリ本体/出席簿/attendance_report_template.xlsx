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c162586f843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次レポート" sheetId="1" r:id="R68135667464b4b00"/>
    <x:sheet xmlns:r="http://schemas.openxmlformats.org/officeDocument/2006/relationships" name="出席記録" sheetId="2" r:id="Rf67993f18bcb46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年m月"/>
    <x:numFmt numFmtId="201" formatCode="0.0%"/>
    <x:numFmt numFmtId="202" formatCode="yyyy-mm-dd"/>
  </x:numFmts>
  <x:fonts count="7">
    <x:font>
      <x:sz val="11"/>
      <x:name val="Carlito"/>
    </x:font>
    <x:font>
      <x:b/>
      <x:sz val="18"/>
      <x:color rgb="FFFFFFFF"/>
      <x:name val="Yu Gothic"/>
    </x:font>
    <x:font>
      <x:b/>
      <x:sz val="11"/>
      <x:color rgb="FF1F2937"/>
      <x:name val="Yu Gothic"/>
    </x:font>
    <x:font>
      <x:sz val="10"/>
      <x:color rgb="FF111827"/>
      <x:name val="Yu Gothic"/>
    </x:font>
    <x:font>
      <x:b/>
      <x:sz val="16"/>
      <x:color rgb="FF1F2937"/>
      <x:name val="Yu Gothic"/>
    </x:font>
    <x:font>
      <x:sz val="11"/>
      <x:name val="Yu Gothic"/>
    </x:font>
    <x:font>
      <x:b/>
      <x:sz val="10"/>
      <x:color rgb="FFFFFFFF"/>
      <x:name val="Yu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9FAFB"/>
      </x:patternFill>
    </x:fill>
  </x:fills>
  <x:borders count="16">
    <x:border/>
    <x:border>
      <x:left style="thin">
        <x:color rgb="FF9CA3AF"/>
      </x:left>
      <x:right style="thin">
        <x:color rgb="FF9CA3AF"/>
      </x:right>
      <x:top style="thin">
        <x:color rgb="FF9CA3AF"/>
      </x:top>
    </x:border>
    <x:border>
      <x:left style="thin">
        <x:color rgb="FF9CA3AF"/>
      </x:left>
      <x:right style="thin">
        <x:color rgb="FF9CA3AF"/>
      </x:right>
      <x:bottom style="thin">
        <x:color rgb="FF9CA3AF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top style="thin">
        <x:color rgb="FFD1D5DB"/>
      </x:top>
    </x:border>
    <x:border>
      <x:bottom style="thin">
        <x:color rgb="FFD1D5DB"/>
      </x:bottom>
    </x:border>
    <x:border>
      <x:left style="thin">
        <x:color rgb="FFD1D5DB"/>
      </x:left>
    </x:border>
    <x:border>
      <x:right style="thin">
        <x:color rgb="FFD1D5DB"/>
      </x:right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20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20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20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/>
    <x:xf numFmtId="201" fontId="3" fillId="0" borderId="5" xfId="0" applyNumberFormat="1" applyFont="1" applyFill="1" applyBorder="1"/>
    <x:xf numFmtId="201" fontId="3" fillId="0" borderId="5" xfId="0" applyNumberFormat="1" applyFont="1" applyFill="1" applyBorder="1" applyAlignment="1">
      <x:alignment wrapText="1"/>
    </x:xf>
    <x:xf numFmtId="201" fontId="3" fillId="0" borderId="5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/>
    <x:xf numFmtId="0" fontId="3" fillId="0" borderId="7" xfId="0" applyNumberFormat="1" applyFont="1" applyFill="1" applyBorder="1"/>
    <x:xf numFmtId="202" fontId="3" fillId="0" borderId="8" xfId="0" applyNumberFormat="1" applyFont="1" applyFill="1" applyBorder="1"/>
    <x:xf numFmtId="0" fontId="3" fillId="0" borderId="7" xfId="0" applyNumberFormat="1" applyFont="1" applyFill="1" applyBorder="1" applyAlignment="1">
      <x:alignment wrapText="1"/>
    </x:xf>
    <x:xf numFmtId="202" fontId="3" fillId="0" borderId="8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vertical="top" wrapText="1"/>
    </x:xf>
    <x:xf numFmtId="202" fontId="3" fillId="0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12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13" xfId="0" applyNumberFormat="1" applyFont="1" applyFill="1" applyBorder="1"/>
    <x:xf numFmtId="0" fontId="4" fillId="4" borderId="6" xfId="0" applyNumberFormat="1" applyFont="1" applyFill="1" applyBorder="1"/>
    <x:xf numFmtId="0" fontId="4" fillId="4" borderId="3" xfId="0" applyNumberFormat="1" applyFont="1" applyFill="1" applyBorder="1" applyAlignment="1">
      <x:alignment horizontal="center"/>
    </x:xf>
    <x:xf numFmtId="0" fontId="4" fillId="4" borderId="12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4" fillId="4" borderId="13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12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13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3" fillId="0" borderId="12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5" xfId="0" applyNumberFormat="1" applyFont="1" applyFill="1" applyBorder="1"/>
    <x:xf numFmtId="0" fontId="3" fillId="0" borderId="13" xfId="0" applyNumberFormat="1" applyFont="1" applyFill="1" applyBorder="1"/>
    <x:xf numFmtId="0" fontId="3" fillId="0" borderId="12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5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13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202" fontId="3" fillId="0" borderId="3" xfId="0" applyNumberFormat="1" applyFont="1" applyFill="1" applyBorder="1"/>
    <x:xf numFmtId="202" fontId="3" fillId="0" borderId="14" xfId="0" applyNumberFormat="1" applyFont="1" applyFill="1" applyBorder="1"/>
    <x:xf numFmtId="202" fontId="3" fillId="0" borderId="5" xfId="0" applyNumberFormat="1" applyFont="1" applyFill="1" applyBorder="1"/>
    <x:xf numFmtId="202" fontId="3" fillId="0" borderId="3" xfId="0" applyNumberFormat="1" applyFont="1" applyFill="1" applyBorder="1" applyAlignment="1">
      <x:alignment wrapText="1"/>
    </x:xf>
    <x:xf numFmtId="202" fontId="3" fillId="0" borderId="14" xfId="0" applyNumberFormat="1" applyFont="1" applyFill="1" applyBorder="1" applyAlignment="1">
      <x:alignment wrapText="1"/>
    </x:xf>
    <x:xf numFmtId="202" fontId="3" fillId="0" borderId="5" xfId="0" applyNumberFormat="1" applyFont="1" applyFill="1" applyBorder="1" applyAlignment="1">
      <x:alignment wrapText="1"/>
    </x:xf>
    <x:xf numFmtId="202" fontId="3" fillId="0" borderId="3" xfId="0" applyNumberFormat="1" applyFont="1" applyFill="1" applyBorder="1" applyAlignment="1">
      <x:alignment vertical="top" wrapText="1"/>
    </x:xf>
    <x:xf numFmtId="202" fontId="3" fillId="0" borderId="14" xfId="0" applyNumberFormat="1" applyFont="1" applyFill="1" applyBorder="1" applyAlignment="1">
      <x:alignment vertical="top" wrapText="1"/>
    </x:xf>
    <x:xf numFmtId="202" fontId="3" fillId="0" borderId="5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 vertical="center"/>
    </x:xf>
    <x:xf numFmtId="202" fontId="3" fillId="0" borderId="3" xfId="0" applyNumberFormat="1" applyFont="1" applyFill="1" applyBorder="1" applyAlignment="1">
      <x:alignment horizontal="center" vertical="top" wrapText="1"/>
    </x:xf>
    <x:xf numFmtId="0" fontId="3" fillId="0" borderId="12" xfId="0" applyNumberFormat="1" applyFont="1" applyFill="1" applyBorder="1" applyAlignment="1">
      <x:alignment horizontal="center" vertical="top" wrapText="1"/>
    </x:xf>
    <x:xf numFmtId="202" fontId="3" fillId="0" borderId="14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202" fontId="3" fillId="0" borderId="5" xfId="0" applyNumberFormat="1" applyFont="1" applyFill="1" applyBorder="1" applyAlignment="1">
      <x:alignment horizontal="center" vertical="top" wrapText="1"/>
    </x:xf>
    <x:xf numFmtId="0" fontId="3" fillId="0" borderId="1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ffbc905dc4d9f" /><Relationship Type="http://schemas.openxmlformats.org/officeDocument/2006/relationships/theme" Target="/xl/theme/theme1.xml" Id="R6dc5d0d5f4f5412e" /><Relationship Type="http://schemas.openxmlformats.org/officeDocument/2006/relationships/sharedStrings" Target="/xl/sharedStrings.xml" Id="Rd36a80dd6f5f4a05" /><Relationship Type="http://schemas.openxmlformats.org/officeDocument/2006/relationships/worksheet" Target="/xl/worksheets/sheet1.xml" Id="R68135667464b4b00" /><Relationship Type="http://schemas.openxmlformats.org/officeDocument/2006/relationships/worksheet" Target="/xl/worksheets/sheet2.xml" Id="Rf67993f18bcb46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1.670000076293945" hidden="0" customWidth="1"/>
    <x:col min="3" max="3" width="11.670000076293945" hidden="0" customWidth="1"/>
    <x:col min="4" max="4" width="11.670000076293945" hidden="0" customWidth="1"/>
    <x:col min="5" max="5" width="11.670000076293945" hidden="0" customWidth="1"/>
    <x:col min="6" max="6" width="11.670000076293945" hidden="0" customWidth="1"/>
    <x:col min="7" max="7" width="11.670000076293945" hidden="0" customWidth="1"/>
    <x:col min="8" max="8" width="11.670000076293945" hidden="0" customWidth="1"/>
  </x:cols>
  <x:sheetData>
    <x:row r="1" ht="33" customHeight="1">
      <x:c r="A1" s="4" t="str">
        <x:v>出席・活動・学習 月次レポート</x:v>
      </x:c>
      <x:c r="B1" s="4" t="str">
        <x:v>出席・活動・学習 月次レポート</x:v>
      </x:c>
      <x:c r="C1" s="4" t="str">
        <x:v>出席・活動・学習 月次レポート</x:v>
      </x:c>
      <x:c r="D1" s="4" t="str">
        <x:v>出席・活動・学習 月次レポート</x:v>
      </x:c>
      <x:c r="E1" s="4" t="str">
        <x:v>出席・活動・学習 月次レポート</x:v>
      </x:c>
      <x:c r="F1" s="4" t="str">
        <x:v>出席・活動・学習 月次レポート</x:v>
      </x:c>
      <x:c r="G1" s="4" t="str">
        <x:v>出席・活動・学習 月次レポート</x:v>
      </x:c>
      <x:c r="H1" s="4" t="str">
        <x:v>出席・活動・学習 月次レポート</x:v>
      </x:c>
    </x:row>
    <x:row r="2">
      <x:c r="A2" s="92"/>
      <x:c r="B2" s="92"/>
      <x:c r="C2" s="92"/>
      <x:c r="D2" s="92"/>
      <x:c r="E2" s="92"/>
      <x:c r="F2" s="92"/>
      <x:c r="G2" s="92"/>
      <x:c r="H2" s="92"/>
    </x:row>
    <x:row r="3">
      <x:c r="A3" s="16" t="str">
        <x:v>年</x:v>
      </x:c>
      <x:c r="B3" s="28" t="n">
        <x:v>2026</x:v>
      </x:c>
      <x:c r="C3" s="29" t="str"/>
      <x:c r="D3" s="16" t="str">
        <x:v>月</x:v>
      </x:c>
      <x:c r="E3" s="28" t="n">
        <x:v>7</x:v>
      </x:c>
      <x:c r="F3" s="29" t="str"/>
      <x:c r="G3" s="16" t="str">
        <x:v>氏名</x:v>
      </x:c>
      <x:c r="H3" s="41" t="str"/>
    </x:row>
    <x:row r="4">
      <x:c r="A4" s="17" t="str">
        <x:v>対象期間</x:v>
      </x:c>
      <x:c r="B4" s="30" t="n">
        <x:f>DATE(B3,E3,1)</x:f>
        <x:v>46204</x:v>
      </x:c>
      <x:c r="C4" s="31" t="str"/>
      <x:c r="D4" s="17" t="str">
        <x:v>出席率</x:v>
      </x:c>
      <x:c r="E4" s="35" t="n">
        <x:f>IFERROR(COUNTIF('出席記録'!C3:C33,"出席")/DAY(EOMONTH(DATE(B3,E3,1),0)),0)</x:f>
        <x:v>0</x:v>
      </x:c>
      <x:c r="F4" s="31" t="str"/>
      <x:c r="G4" s="17" t="str">
        <x:v>作成日</x:v>
      </x:c>
      <x:c r="H4" s="42" t="n">
        <x:v>46176.40002501157</x:v>
      </x:c>
    </x:row>
    <x:row r="5">
      <x:c r="A5" s="92"/>
      <x:c r="B5" s="92"/>
      <x:c r="C5" s="92"/>
      <x:c r="D5" s="92"/>
      <x:c r="E5" s="92"/>
      <x:c r="F5" s="92"/>
      <x:c r="G5" s="92"/>
      <x:c r="H5" s="92"/>
    </x:row>
    <x:row r="6">
      <x:c r="A6" s="52" t="str">
        <x:v>出席日数</x:v>
      </x:c>
      <x:c r="B6" s="53" t="str"/>
      <x:c r="C6" s="53" t="str">
        <x:v>欠席日数</x:v>
      </x:c>
      <x:c r="D6" s="53" t="str"/>
      <x:c r="E6" s="53" t="str">
        <x:v>遅刻・早退</x:v>
      </x:c>
      <x:c r="F6" s="53" t="str"/>
      <x:c r="G6" s="53" t="str">
        <x:v>登録済み活動数</x:v>
      </x:c>
      <x:c r="H6" s="54" t="str"/>
    </x:row>
    <x:row r="7" ht="25.5" customHeight="1">
      <x:c r="A7" s="69" t="str"/>
      <x:c r="B7" s="70" t="n">
        <x:f>COUNTIF('出席記録'!C3:C33,"出席")</x:f>
        <x:v>0</x:v>
      </x:c>
      <x:c r="C7" s="70" t="str"/>
      <x:c r="D7" s="70" t="n">
        <x:f>COUNTIF('出席記録'!C3:C33,"欠席")</x:f>
        <x:v>0</x:v>
      </x:c>
      <x:c r="E7" s="70" t="str"/>
      <x:c r="F7" s="70" t="n">
        <x:f>COUNTIF('出席記録'!C3:C33,"遅刻")+COUNTIF('出席記録'!C3:C33,"早退")</x:f>
        <x:v>0</x:v>
      </x:c>
      <x:c r="G7" s="70" t="str"/>
      <x:c r="H7" s="71" t="n">
        <x:f>COUNTIF('出席記録'!D3:D33,"?*")</x:f>
        <x:v>0</x:v>
      </x:c>
    </x:row>
    <x:row r="8" ht="25.5" customHeight="1">
      <x:c r="A8" s="72" t="str"/>
      <x:c r="B8" s="73" t="str"/>
      <x:c r="C8" s="73" t="str"/>
      <x:c r="D8" s="73" t="str"/>
      <x:c r="E8" s="73" t="str"/>
      <x:c r="F8" s="73" t="str"/>
      <x:c r="G8" s="73" t="str"/>
      <x:c r="H8" s="74" t="str"/>
    </x:row>
    <x:row r="9">
      <x:c r="A9" s="92"/>
      <x:c r="B9" s="92"/>
      <x:c r="C9" s="92"/>
      <x:c r="D9" s="92"/>
      <x:c r="E9" s="92"/>
      <x:c r="F9" s="92"/>
      <x:c r="G9" s="92"/>
      <x:c r="H9" s="92"/>
    </x:row>
    <x:row r="10">
      <x:c r="A10" s="52" t="str">
        <x:v>活動内容まとめ</x:v>
      </x:c>
      <x:c r="B10" s="53" t="str"/>
      <x:c r="C10" s="53" t="str"/>
      <x:c r="D10" s="53" t="str"/>
      <x:c r="E10" s="53" t="str"/>
      <x:c r="F10" s="53" t="str"/>
      <x:c r="G10" s="53" t="str"/>
      <x:c r="H10" s="54" t="str"/>
    </x:row>
    <x:row r="11" ht="97.5" customHeight="1">
      <x:c r="A11" s="28" t="str">
        <x:f>IF(COUNTIF('出席記録'!D3:D33,"?*")=0,"未入力",TEXTJOIN(CHAR(10),TRUE,FILTER(TEXT('出席記録'!A3:A33,"m/d")&amp;"："&amp;'出席記録'!D3:D33,'出席記録'!D3:D33&lt;&gt;"")))</x:f>
        <x:v>未入力</x:v>
      </x:c>
      <x:c r="B11" s="86"/>
      <x:c r="C11" s="86"/>
      <x:c r="D11" s="86"/>
      <x:c r="E11" s="86"/>
      <x:c r="F11" s="86"/>
      <x:c r="G11" s="86"/>
      <x:c r="H11" s="29"/>
    </x:row>
    <x:row r="12" ht="97.5" customHeight="1">
      <x:c r="A12" s="87"/>
      <x:c r="B12" s="88"/>
      <x:c r="C12" s="88"/>
      <x:c r="D12" s="88"/>
      <x:c r="E12" s="88"/>
      <x:c r="F12" s="88"/>
      <x:c r="G12" s="88"/>
      <x:c r="H12" s="89"/>
    </x:row>
    <x:row r="13" ht="97.5" customHeight="1">
      <x:c r="A13" s="87"/>
      <x:c r="B13" s="88"/>
      <x:c r="C13" s="88"/>
      <x:c r="D13" s="88"/>
      <x:c r="E13" s="88"/>
      <x:c r="F13" s="88"/>
      <x:c r="G13" s="88"/>
      <x:c r="H13" s="89"/>
    </x:row>
    <x:row r="14" ht="97.5" customHeight="1">
      <x:c r="A14" s="87"/>
      <x:c r="B14" s="88"/>
      <x:c r="C14" s="88"/>
      <x:c r="D14" s="88"/>
      <x:c r="E14" s="88"/>
      <x:c r="F14" s="88"/>
      <x:c r="G14" s="88"/>
      <x:c r="H14" s="89"/>
    </x:row>
    <x:row r="15" ht="97.5" customHeight="1">
      <x:c r="A15" s="87"/>
      <x:c r="B15" s="88"/>
      <x:c r="C15" s="88"/>
      <x:c r="D15" s="88"/>
      <x:c r="E15" s="88"/>
      <x:c r="F15" s="88"/>
      <x:c r="G15" s="88"/>
      <x:c r="H15" s="89"/>
    </x:row>
    <x:row r="16" ht="97.5" customHeight="1">
      <x:c r="A16" s="90"/>
      <x:c r="B16" s="91"/>
      <x:c r="C16" s="91"/>
      <x:c r="D16" s="91"/>
      <x:c r="E16" s="91"/>
      <x:c r="F16" s="91"/>
      <x:c r="G16" s="91"/>
      <x:c r="H16" s="31"/>
    </x:row>
    <x:row r="17">
      <x:c r="A17" s="92"/>
      <x:c r="B17" s="92"/>
      <x:c r="C17" s="92"/>
      <x:c r="D17" s="92"/>
      <x:c r="E17" s="92"/>
      <x:c r="F17" s="92"/>
      <x:c r="G17" s="92"/>
      <x:c r="H17" s="92"/>
    </x:row>
    <x:row r="18">
      <x:c r="A18" s="52" t="str">
        <x:v>学習内容まとめ</x:v>
      </x:c>
      <x:c r="B18" s="53" t="str"/>
      <x:c r="C18" s="53" t="str"/>
      <x:c r="D18" s="53" t="str"/>
      <x:c r="E18" s="53" t="str"/>
      <x:c r="F18" s="53" t="str"/>
      <x:c r="G18" s="53" t="str"/>
      <x:c r="H18" s="54" t="str"/>
    </x:row>
    <x:row r="19" ht="97.5" customHeight="1">
      <x:c r="A19" s="28" t="str">
        <x:f>IF(COUNTIF('出席記録'!E3:E33,"?*")=0,"未入力",TEXTJOIN(CHAR(10),TRUE,FILTER(TEXT('出席記録'!A3:A33,"m/d")&amp;"："&amp;'出席記録'!E3:E33,'出席記録'!E3:E33&lt;&gt;"")))</x:f>
        <x:v>未入力</x:v>
      </x:c>
      <x:c r="B19" s="86"/>
      <x:c r="C19" s="86"/>
      <x:c r="D19" s="86"/>
      <x:c r="E19" s="86"/>
      <x:c r="F19" s="86"/>
      <x:c r="G19" s="86"/>
      <x:c r="H19" s="29"/>
    </x:row>
    <x:row r="20" ht="97.5" customHeight="1">
      <x:c r="A20" s="87"/>
      <x:c r="B20" s="88"/>
      <x:c r="C20" s="88"/>
      <x:c r="D20" s="88"/>
      <x:c r="E20" s="88"/>
      <x:c r="F20" s="88"/>
      <x:c r="G20" s="88"/>
      <x:c r="H20" s="89"/>
    </x:row>
    <x:row r="21" ht="97.5" customHeight="1">
      <x:c r="A21" s="87"/>
      <x:c r="B21" s="88"/>
      <x:c r="C21" s="88"/>
      <x:c r="D21" s="88"/>
      <x:c r="E21" s="88"/>
      <x:c r="F21" s="88"/>
      <x:c r="G21" s="88"/>
      <x:c r="H21" s="89"/>
    </x:row>
    <x:row r="22" ht="97.5" customHeight="1">
      <x:c r="A22" s="87"/>
      <x:c r="B22" s="88"/>
      <x:c r="C22" s="88"/>
      <x:c r="D22" s="88"/>
      <x:c r="E22" s="88"/>
      <x:c r="F22" s="88"/>
      <x:c r="G22" s="88"/>
      <x:c r="H22" s="89"/>
    </x:row>
    <x:row r="23" ht="97.5" customHeight="1">
      <x:c r="A23" s="87"/>
      <x:c r="B23" s="88"/>
      <x:c r="C23" s="88"/>
      <x:c r="D23" s="88"/>
      <x:c r="E23" s="88"/>
      <x:c r="F23" s="88"/>
      <x:c r="G23" s="88"/>
      <x:c r="H23" s="89"/>
    </x:row>
    <x:row r="24" ht="97.5" customHeight="1">
      <x:c r="A24" s="90"/>
      <x:c r="B24" s="91"/>
      <x:c r="C24" s="91"/>
      <x:c r="D24" s="91"/>
      <x:c r="E24" s="91"/>
      <x:c r="F24" s="91"/>
      <x:c r="G24" s="91"/>
      <x:c r="H24" s="31"/>
    </x:row>
    <x:row r="25">
      <x:c r="A25" s="92"/>
      <x:c r="B25" s="92"/>
      <x:c r="C25" s="92"/>
      <x:c r="D25" s="92"/>
      <x:c r="E25" s="92"/>
      <x:c r="F25" s="92"/>
      <x:c r="G25" s="92"/>
      <x:c r="H25" s="92"/>
    </x:row>
    <x:row r="26">
      <x:c r="A26" s="52" t="str">
        <x:v>所感・連絡事項</x:v>
      </x:c>
      <x:c r="B26" s="53" t="str"/>
      <x:c r="C26" s="53" t="str"/>
      <x:c r="D26" s="53" t="str"/>
      <x:c r="E26" s="53" t="str"/>
      <x:c r="F26" s="53" t="str"/>
      <x:c r="G26" s="53" t="str"/>
      <x:c r="H26" s="54" t="str"/>
    </x:row>
    <x:row r="27" ht="75" customHeight="1">
      <x:c r="A27" s="28" t="str">
        <x:f>IF(COUNTIF('出席記録'!F3:F33,"?*")=0,"未入力",TEXTJOIN(CHAR(10),TRUE,FILTER(TEXT('出席記録'!A3:A33,"m/d")&amp;"："&amp;'出席記録'!F3:F33,'出席記録'!F3:F33&lt;&gt;"")))</x:f>
        <x:v>未入力</x:v>
      </x:c>
      <x:c r="B27" s="86"/>
      <x:c r="C27" s="86"/>
      <x:c r="D27" s="86"/>
      <x:c r="E27" s="86"/>
      <x:c r="F27" s="86"/>
      <x:c r="G27" s="86"/>
      <x:c r="H27" s="29"/>
    </x:row>
    <x:row r="28" ht="75" customHeight="1">
      <x:c r="A28" s="87"/>
      <x:c r="B28" s="88"/>
      <x:c r="C28" s="88"/>
      <x:c r="D28" s="88"/>
      <x:c r="E28" s="88"/>
      <x:c r="F28" s="88"/>
      <x:c r="G28" s="88"/>
      <x:c r="H28" s="89"/>
    </x:row>
    <x:row r="29" ht="75" customHeight="1">
      <x:c r="A29" s="87"/>
      <x:c r="B29" s="88"/>
      <x:c r="C29" s="88"/>
      <x:c r="D29" s="88"/>
      <x:c r="E29" s="88"/>
      <x:c r="F29" s="88"/>
      <x:c r="G29" s="88"/>
      <x:c r="H29" s="89"/>
    </x:row>
    <x:row r="30" ht="75" customHeight="1">
      <x:c r="A30" s="87"/>
      <x:c r="B30" s="88"/>
      <x:c r="C30" s="88"/>
      <x:c r="D30" s="88"/>
      <x:c r="E30" s="88"/>
      <x:c r="F30" s="88"/>
      <x:c r="G30" s="88"/>
      <x:c r="H30" s="89"/>
    </x:row>
    <x:row r="31" ht="75" customHeight="1">
      <x:c r="A31" s="90"/>
      <x:c r="B31" s="91"/>
      <x:c r="C31" s="91"/>
      <x:c r="D31" s="91"/>
      <x:c r="E31" s="91"/>
      <x:c r="F31" s="91"/>
      <x:c r="G31" s="91"/>
      <x:c r="H31" s="31"/>
    </x:row>
  </x:sheetData>
  <x:mergeCells>
    <x:mergeCell ref="A1:H1"/>
    <x:mergeCell ref="A10:H10"/>
    <x:mergeCell ref="A11:H16"/>
    <x:mergeCell ref="A18:H18"/>
    <x:mergeCell ref="A19:H24"/>
    <x:mergeCell ref="A26:H26"/>
    <x:mergeCell ref="A27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6.110000133514404" hidden="0" customWidth="1"/>
    <x:col min="3" max="3" width="8.329999923706055" hidden="0" customWidth="1"/>
    <x:col min="4" max="4" width="28.889999389648438" hidden="0" customWidth="1"/>
    <x:col min="5" max="5" width="28.889999389648438" hidden="0" customWidth="1"/>
    <x:col min="6" max="6" width="24.440000534057617" hidden="0" customWidth="1"/>
  </x:cols>
  <x:sheetData>
    <x:row r="1" ht="31.5" customHeight="1">
      <x:c r="A1" s="102" t="str">
        <x:v>出席記録 入力表</x:v>
      </x:c>
      <x:c r="B1" s="102" t="str">
        <x:v>出席記録 入力表</x:v>
      </x:c>
      <x:c r="C1" s="102" t="str">
        <x:v>出席記録 入力表</x:v>
      </x:c>
      <x:c r="D1" s="102" t="str">
        <x:v>出席記録 入力表</x:v>
      </x:c>
      <x:c r="E1" s="102" t="str">
        <x:v>出席記録 入力表</x:v>
      </x:c>
      <x:c r="F1" s="102" t="str">
        <x:v>出席記録 入力表</x:v>
      </x:c>
    </x:row>
    <x:row r="2">
      <x:c r="A2" s="52" t="str">
        <x:v>日付</x:v>
      </x:c>
      <x:c r="B2" s="53" t="str">
        <x:v>曜日</x:v>
      </x:c>
      <x:c r="C2" s="53" t="str">
        <x:v>出席</x:v>
      </x:c>
      <x:c r="D2" s="53" t="str">
        <x:v>活動内容</x:v>
      </x:c>
      <x:c r="E2" s="53" t="str">
        <x:v>学習内容</x:v>
      </x:c>
      <x:c r="F2" s="54" t="str">
        <x:v>備考</x:v>
      </x:c>
    </x:row>
    <x:row r="3" ht="27" customHeight="1">
      <x:c r="A3" s="103" t="n">
        <x:f>IF(1&lt;=DAY(EOMONTH(DATE('月次レポート'!$B$3,'月次レポート'!$E$3,1),0)),DATE('月次レポート'!$B$3,'月次レポート'!$E$3,1),"")</x:f>
        <x:v>46204</x:v>
      </x:c>
      <x:c r="B3" s="104" t="str">
        <x:f>IF(A3&lt;&gt;"",TEXT(A3,"aaa"),"")</x:f>
        <x:v>aaa</x:v>
      </x:c>
      <x:c r="C3" s="104" t="str"/>
      <x:c r="D3" s="86" t="str"/>
      <x:c r="E3" s="86" t="str"/>
      <x:c r="F3" s="29" t="str"/>
    </x:row>
    <x:row r="4" ht="27" customHeight="1">
      <x:c r="A4" s="105" t="n">
        <x:f>IF(2&lt;=DAY(EOMONTH(DATE('月次レポート'!$B$3,'月次レポート'!$E$3,1),0)),DATE('月次レポート'!$B$3,'月次レポート'!$E$3,2),"")</x:f>
        <x:v>46205</x:v>
      </x:c>
      <x:c r="B4" s="106" t="str">
        <x:f>IF(A4&lt;&gt;"",TEXT(A4,"aaa"),"")</x:f>
        <x:v>aaa</x:v>
      </x:c>
      <x:c r="C4" s="106" t="str"/>
      <x:c r="D4" s="88" t="str"/>
      <x:c r="E4" s="88" t="str"/>
      <x:c r="F4" s="89" t="str"/>
    </x:row>
    <x:row r="5" ht="27" customHeight="1">
      <x:c r="A5" s="105" t="n">
        <x:f>IF(3&lt;=DAY(EOMONTH(DATE('月次レポート'!$B$3,'月次レポート'!$E$3,1),0)),DATE('月次レポート'!$B$3,'月次レポート'!$E$3,3),"")</x:f>
        <x:v>46206</x:v>
      </x:c>
      <x:c r="B5" s="106" t="str">
        <x:f>IF(A5&lt;&gt;"",TEXT(A5,"aaa"),"")</x:f>
        <x:v>aaa</x:v>
      </x:c>
      <x:c r="C5" s="106" t="str"/>
      <x:c r="D5" s="88" t="str"/>
      <x:c r="E5" s="88" t="str"/>
      <x:c r="F5" s="89" t="str"/>
    </x:row>
    <x:row r="6" ht="27" customHeight="1">
      <x:c r="A6" s="105" t="n">
        <x:f>IF(4&lt;=DAY(EOMONTH(DATE('月次レポート'!$B$3,'月次レポート'!$E$3,1),0)),DATE('月次レポート'!$B$3,'月次レポート'!$E$3,4),"")</x:f>
        <x:v>46207</x:v>
      </x:c>
      <x:c r="B6" s="106" t="str">
        <x:f>IF(A6&lt;&gt;"",TEXT(A6,"aaa"),"")</x:f>
        <x:v>aaa</x:v>
      </x:c>
      <x:c r="C6" s="106" t="str"/>
      <x:c r="D6" s="88" t="str"/>
      <x:c r="E6" s="88" t="str"/>
      <x:c r="F6" s="89" t="str"/>
    </x:row>
    <x:row r="7" ht="27" customHeight="1">
      <x:c r="A7" s="105" t="n">
        <x:f>IF(5&lt;=DAY(EOMONTH(DATE('月次レポート'!$B$3,'月次レポート'!$E$3,1),0)),DATE('月次レポート'!$B$3,'月次レポート'!$E$3,5),"")</x:f>
        <x:v>46208</x:v>
      </x:c>
      <x:c r="B7" s="106" t="str">
        <x:f>IF(A7&lt;&gt;"",TEXT(A7,"aaa"),"")</x:f>
        <x:v>aaa</x:v>
      </x:c>
      <x:c r="C7" s="106" t="str"/>
      <x:c r="D7" s="88" t="str"/>
      <x:c r="E7" s="88" t="str"/>
      <x:c r="F7" s="89" t="str"/>
    </x:row>
    <x:row r="8" ht="27" customHeight="1">
      <x:c r="A8" s="105" t="n">
        <x:f>IF(6&lt;=DAY(EOMONTH(DATE('月次レポート'!$B$3,'月次レポート'!$E$3,1),0)),DATE('月次レポート'!$B$3,'月次レポート'!$E$3,6),"")</x:f>
        <x:v>46209</x:v>
      </x:c>
      <x:c r="B8" s="106" t="str">
        <x:f>IF(A8&lt;&gt;"",TEXT(A8,"aaa"),"")</x:f>
        <x:v>aaa</x:v>
      </x:c>
      <x:c r="C8" s="106" t="str"/>
      <x:c r="D8" s="88" t="str"/>
      <x:c r="E8" s="88" t="str"/>
      <x:c r="F8" s="89" t="str"/>
    </x:row>
    <x:row r="9" ht="27" customHeight="1">
      <x:c r="A9" s="105" t="n">
        <x:f>IF(7&lt;=DAY(EOMONTH(DATE('月次レポート'!$B$3,'月次レポート'!$E$3,1),0)),DATE('月次レポート'!$B$3,'月次レポート'!$E$3,7),"")</x:f>
        <x:v>46210</x:v>
      </x:c>
      <x:c r="B9" s="106" t="str">
        <x:f>IF(A9&lt;&gt;"",TEXT(A9,"aaa"),"")</x:f>
        <x:v>aaa</x:v>
      </x:c>
      <x:c r="C9" s="106" t="str"/>
      <x:c r="D9" s="88" t="str"/>
      <x:c r="E9" s="88" t="str"/>
      <x:c r="F9" s="89" t="str"/>
    </x:row>
    <x:row r="10" ht="27" customHeight="1">
      <x:c r="A10" s="105" t="n">
        <x:f>IF(8&lt;=DAY(EOMONTH(DATE('月次レポート'!$B$3,'月次レポート'!$E$3,1),0)),DATE('月次レポート'!$B$3,'月次レポート'!$E$3,8),"")</x:f>
        <x:v>46211</x:v>
      </x:c>
      <x:c r="B10" s="106" t="str">
        <x:f>IF(A10&lt;&gt;"",TEXT(A10,"aaa"),"")</x:f>
        <x:v>aaa</x:v>
      </x:c>
      <x:c r="C10" s="106" t="str"/>
      <x:c r="D10" s="88" t="str"/>
      <x:c r="E10" s="88" t="str"/>
      <x:c r="F10" s="89" t="str"/>
    </x:row>
    <x:row r="11" ht="27" customHeight="1">
      <x:c r="A11" s="105" t="n">
        <x:f>IF(9&lt;=DAY(EOMONTH(DATE('月次レポート'!$B$3,'月次レポート'!$E$3,1),0)),DATE('月次レポート'!$B$3,'月次レポート'!$E$3,9),"")</x:f>
        <x:v>46212</x:v>
      </x:c>
      <x:c r="B11" s="106" t="str">
        <x:f>IF(A11&lt;&gt;"",TEXT(A11,"aaa"),"")</x:f>
        <x:v>aaa</x:v>
      </x:c>
      <x:c r="C11" s="106" t="str"/>
      <x:c r="D11" s="88" t="str"/>
      <x:c r="E11" s="88" t="str"/>
      <x:c r="F11" s="89" t="str"/>
    </x:row>
    <x:row r="12" ht="27" customHeight="1">
      <x:c r="A12" s="105" t="n">
        <x:f>IF(10&lt;=DAY(EOMONTH(DATE('月次レポート'!$B$3,'月次レポート'!$E$3,1),0)),DATE('月次レポート'!$B$3,'月次レポート'!$E$3,10),"")</x:f>
        <x:v>46213</x:v>
      </x:c>
      <x:c r="B12" s="106" t="str">
        <x:f>IF(A12&lt;&gt;"",TEXT(A12,"aaa"),"")</x:f>
        <x:v>aaa</x:v>
      </x:c>
      <x:c r="C12" s="106" t="str"/>
      <x:c r="D12" s="88" t="str"/>
      <x:c r="E12" s="88" t="str"/>
      <x:c r="F12" s="89" t="str"/>
    </x:row>
    <x:row r="13" ht="27" customHeight="1">
      <x:c r="A13" s="105" t="n">
        <x:f>IF(11&lt;=DAY(EOMONTH(DATE('月次レポート'!$B$3,'月次レポート'!$E$3,1),0)),DATE('月次レポート'!$B$3,'月次レポート'!$E$3,11),"")</x:f>
        <x:v>46214</x:v>
      </x:c>
      <x:c r="B13" s="106" t="str">
        <x:f>IF(A13&lt;&gt;"",TEXT(A13,"aaa"),"")</x:f>
        <x:v>aaa</x:v>
      </x:c>
      <x:c r="C13" s="106" t="str"/>
      <x:c r="D13" s="88" t="str"/>
      <x:c r="E13" s="88" t="str"/>
      <x:c r="F13" s="89" t="str"/>
    </x:row>
    <x:row r="14" ht="27" customHeight="1">
      <x:c r="A14" s="105" t="n">
        <x:f>IF(12&lt;=DAY(EOMONTH(DATE('月次レポート'!$B$3,'月次レポート'!$E$3,1),0)),DATE('月次レポート'!$B$3,'月次レポート'!$E$3,12),"")</x:f>
        <x:v>46215</x:v>
      </x:c>
      <x:c r="B14" s="106" t="str">
        <x:f>IF(A14&lt;&gt;"",TEXT(A14,"aaa"),"")</x:f>
        <x:v>aaa</x:v>
      </x:c>
      <x:c r="C14" s="106" t="str"/>
      <x:c r="D14" s="88" t="str"/>
      <x:c r="E14" s="88" t="str"/>
      <x:c r="F14" s="89" t="str"/>
    </x:row>
    <x:row r="15" ht="27" customHeight="1">
      <x:c r="A15" s="105" t="n">
        <x:f>IF(13&lt;=DAY(EOMONTH(DATE('月次レポート'!$B$3,'月次レポート'!$E$3,1),0)),DATE('月次レポート'!$B$3,'月次レポート'!$E$3,13),"")</x:f>
        <x:v>46216</x:v>
      </x:c>
      <x:c r="B15" s="106" t="str">
        <x:f>IF(A15&lt;&gt;"",TEXT(A15,"aaa"),"")</x:f>
        <x:v>aaa</x:v>
      </x:c>
      <x:c r="C15" s="106" t="str"/>
      <x:c r="D15" s="88" t="str"/>
      <x:c r="E15" s="88" t="str"/>
      <x:c r="F15" s="89" t="str"/>
    </x:row>
    <x:row r="16" ht="27" customHeight="1">
      <x:c r="A16" s="105" t="n">
        <x:f>IF(14&lt;=DAY(EOMONTH(DATE('月次レポート'!$B$3,'月次レポート'!$E$3,1),0)),DATE('月次レポート'!$B$3,'月次レポート'!$E$3,14),"")</x:f>
        <x:v>46217</x:v>
      </x:c>
      <x:c r="B16" s="106" t="str">
        <x:f>IF(A16&lt;&gt;"",TEXT(A16,"aaa"),"")</x:f>
        <x:v>aaa</x:v>
      </x:c>
      <x:c r="C16" s="106" t="str"/>
      <x:c r="D16" s="88" t="str"/>
      <x:c r="E16" s="88" t="str"/>
      <x:c r="F16" s="89" t="str"/>
    </x:row>
    <x:row r="17" ht="27" customHeight="1">
      <x:c r="A17" s="105" t="n">
        <x:f>IF(15&lt;=DAY(EOMONTH(DATE('月次レポート'!$B$3,'月次レポート'!$E$3,1),0)),DATE('月次レポート'!$B$3,'月次レポート'!$E$3,15),"")</x:f>
        <x:v>46218</x:v>
      </x:c>
      <x:c r="B17" s="106" t="str">
        <x:f>IF(A17&lt;&gt;"",TEXT(A17,"aaa"),"")</x:f>
        <x:v>aaa</x:v>
      </x:c>
      <x:c r="C17" s="106" t="str"/>
      <x:c r="D17" s="88" t="str"/>
      <x:c r="E17" s="88" t="str"/>
      <x:c r="F17" s="89" t="str"/>
    </x:row>
    <x:row r="18" ht="27" customHeight="1">
      <x:c r="A18" s="105" t="n">
        <x:f>IF(16&lt;=DAY(EOMONTH(DATE('月次レポート'!$B$3,'月次レポート'!$E$3,1),0)),DATE('月次レポート'!$B$3,'月次レポート'!$E$3,16),"")</x:f>
        <x:v>46219</x:v>
      </x:c>
      <x:c r="B18" s="106" t="str">
        <x:f>IF(A18&lt;&gt;"",TEXT(A18,"aaa"),"")</x:f>
        <x:v>aaa</x:v>
      </x:c>
      <x:c r="C18" s="106" t="str"/>
      <x:c r="D18" s="88" t="str"/>
      <x:c r="E18" s="88" t="str"/>
      <x:c r="F18" s="89" t="str"/>
    </x:row>
    <x:row r="19" ht="27" customHeight="1">
      <x:c r="A19" s="105" t="n">
        <x:f>IF(17&lt;=DAY(EOMONTH(DATE('月次レポート'!$B$3,'月次レポート'!$E$3,1),0)),DATE('月次レポート'!$B$3,'月次レポート'!$E$3,17),"")</x:f>
        <x:v>46220</x:v>
      </x:c>
      <x:c r="B19" s="106" t="str">
        <x:f>IF(A19&lt;&gt;"",TEXT(A19,"aaa"),"")</x:f>
        <x:v>aaa</x:v>
      </x:c>
      <x:c r="C19" s="106" t="str"/>
      <x:c r="D19" s="88" t="str"/>
      <x:c r="E19" s="88" t="str"/>
      <x:c r="F19" s="89" t="str"/>
    </x:row>
    <x:row r="20" ht="27" customHeight="1">
      <x:c r="A20" s="105" t="n">
        <x:f>IF(18&lt;=DAY(EOMONTH(DATE('月次レポート'!$B$3,'月次レポート'!$E$3,1),0)),DATE('月次レポート'!$B$3,'月次レポート'!$E$3,18),"")</x:f>
        <x:v>46221</x:v>
      </x:c>
      <x:c r="B20" s="106" t="str">
        <x:f>IF(A20&lt;&gt;"",TEXT(A20,"aaa"),"")</x:f>
        <x:v>aaa</x:v>
      </x:c>
      <x:c r="C20" s="106" t="str"/>
      <x:c r="D20" s="88" t="str"/>
      <x:c r="E20" s="88" t="str"/>
      <x:c r="F20" s="89" t="str"/>
    </x:row>
    <x:row r="21" ht="27" customHeight="1">
      <x:c r="A21" s="105" t="n">
        <x:f>IF(19&lt;=DAY(EOMONTH(DATE('月次レポート'!$B$3,'月次レポート'!$E$3,1),0)),DATE('月次レポート'!$B$3,'月次レポート'!$E$3,19),"")</x:f>
        <x:v>46222</x:v>
      </x:c>
      <x:c r="B21" s="106" t="str">
        <x:f>IF(A21&lt;&gt;"",TEXT(A21,"aaa"),"")</x:f>
        <x:v>aaa</x:v>
      </x:c>
      <x:c r="C21" s="106" t="str"/>
      <x:c r="D21" s="88" t="str"/>
      <x:c r="E21" s="88" t="str"/>
      <x:c r="F21" s="89" t="str"/>
    </x:row>
    <x:row r="22" ht="27" customHeight="1">
      <x:c r="A22" s="105" t="n">
        <x:f>IF(20&lt;=DAY(EOMONTH(DATE('月次レポート'!$B$3,'月次レポート'!$E$3,1),0)),DATE('月次レポート'!$B$3,'月次レポート'!$E$3,20),"")</x:f>
        <x:v>46223</x:v>
      </x:c>
      <x:c r="B22" s="106" t="str">
        <x:f>IF(A22&lt;&gt;"",TEXT(A22,"aaa"),"")</x:f>
        <x:v>aaa</x:v>
      </x:c>
      <x:c r="C22" s="106" t="str"/>
      <x:c r="D22" s="88" t="str"/>
      <x:c r="E22" s="88" t="str"/>
      <x:c r="F22" s="89" t="str"/>
    </x:row>
    <x:row r="23" ht="27" customHeight="1">
      <x:c r="A23" s="105" t="n">
        <x:f>IF(21&lt;=DAY(EOMONTH(DATE('月次レポート'!$B$3,'月次レポート'!$E$3,1),0)),DATE('月次レポート'!$B$3,'月次レポート'!$E$3,21),"")</x:f>
        <x:v>46224</x:v>
      </x:c>
      <x:c r="B23" s="106" t="str">
        <x:f>IF(A23&lt;&gt;"",TEXT(A23,"aaa"),"")</x:f>
        <x:v>aaa</x:v>
      </x:c>
      <x:c r="C23" s="106" t="str"/>
      <x:c r="D23" s="88" t="str"/>
      <x:c r="E23" s="88" t="str"/>
      <x:c r="F23" s="89" t="str"/>
    </x:row>
    <x:row r="24" ht="27" customHeight="1">
      <x:c r="A24" s="105" t="n">
        <x:f>IF(22&lt;=DAY(EOMONTH(DATE('月次レポート'!$B$3,'月次レポート'!$E$3,1),0)),DATE('月次レポート'!$B$3,'月次レポート'!$E$3,22),"")</x:f>
        <x:v>46225</x:v>
      </x:c>
      <x:c r="B24" s="106" t="str">
        <x:f>IF(A24&lt;&gt;"",TEXT(A24,"aaa"),"")</x:f>
        <x:v>aaa</x:v>
      </x:c>
      <x:c r="C24" s="106" t="str"/>
      <x:c r="D24" s="88" t="str"/>
      <x:c r="E24" s="88" t="str"/>
      <x:c r="F24" s="89" t="str"/>
    </x:row>
    <x:row r="25" ht="27" customHeight="1">
      <x:c r="A25" s="105" t="n">
        <x:f>IF(23&lt;=DAY(EOMONTH(DATE('月次レポート'!$B$3,'月次レポート'!$E$3,1),0)),DATE('月次レポート'!$B$3,'月次レポート'!$E$3,23),"")</x:f>
        <x:v>46226</x:v>
      </x:c>
      <x:c r="B25" s="106" t="str">
        <x:f>IF(A25&lt;&gt;"",TEXT(A25,"aaa"),"")</x:f>
        <x:v>aaa</x:v>
      </x:c>
      <x:c r="C25" s="106" t="str"/>
      <x:c r="D25" s="88" t="str"/>
      <x:c r="E25" s="88" t="str"/>
      <x:c r="F25" s="89" t="str"/>
    </x:row>
    <x:row r="26" ht="27" customHeight="1">
      <x:c r="A26" s="105" t="n">
        <x:f>IF(24&lt;=DAY(EOMONTH(DATE('月次レポート'!$B$3,'月次レポート'!$E$3,1),0)),DATE('月次レポート'!$B$3,'月次レポート'!$E$3,24),"")</x:f>
        <x:v>46227</x:v>
      </x:c>
      <x:c r="B26" s="106" t="str">
        <x:f>IF(A26&lt;&gt;"",TEXT(A26,"aaa"),"")</x:f>
        <x:v>aaa</x:v>
      </x:c>
      <x:c r="C26" s="106" t="str"/>
      <x:c r="D26" s="88" t="str"/>
      <x:c r="E26" s="88" t="str"/>
      <x:c r="F26" s="89" t="str"/>
    </x:row>
    <x:row r="27" ht="27" customHeight="1">
      <x:c r="A27" s="105" t="n">
        <x:f>IF(25&lt;=DAY(EOMONTH(DATE('月次レポート'!$B$3,'月次レポート'!$E$3,1),0)),DATE('月次レポート'!$B$3,'月次レポート'!$E$3,25),"")</x:f>
        <x:v>46228</x:v>
      </x:c>
      <x:c r="B27" s="106" t="str">
        <x:f>IF(A27&lt;&gt;"",TEXT(A27,"aaa"),"")</x:f>
        <x:v>aaa</x:v>
      </x:c>
      <x:c r="C27" s="106" t="str"/>
      <x:c r="D27" s="88" t="str"/>
      <x:c r="E27" s="88" t="str"/>
      <x:c r="F27" s="89" t="str"/>
    </x:row>
    <x:row r="28" ht="27" customHeight="1">
      <x:c r="A28" s="105" t="n">
        <x:f>IF(26&lt;=DAY(EOMONTH(DATE('月次レポート'!$B$3,'月次レポート'!$E$3,1),0)),DATE('月次レポート'!$B$3,'月次レポート'!$E$3,26),"")</x:f>
        <x:v>46229</x:v>
      </x:c>
      <x:c r="B28" s="106" t="str">
        <x:f>IF(A28&lt;&gt;"",TEXT(A28,"aaa"),"")</x:f>
        <x:v>aaa</x:v>
      </x:c>
      <x:c r="C28" s="106" t="str"/>
      <x:c r="D28" s="88" t="str"/>
      <x:c r="E28" s="88" t="str"/>
      <x:c r="F28" s="89" t="str"/>
    </x:row>
    <x:row r="29" ht="27" customHeight="1">
      <x:c r="A29" s="105" t="n">
        <x:f>IF(27&lt;=DAY(EOMONTH(DATE('月次レポート'!$B$3,'月次レポート'!$E$3,1),0)),DATE('月次レポート'!$B$3,'月次レポート'!$E$3,27),"")</x:f>
        <x:v>46230</x:v>
      </x:c>
      <x:c r="B29" s="106" t="str">
        <x:f>IF(A29&lt;&gt;"",TEXT(A29,"aaa"),"")</x:f>
        <x:v>aaa</x:v>
      </x:c>
      <x:c r="C29" s="106" t="str"/>
      <x:c r="D29" s="88" t="str"/>
      <x:c r="E29" s="88" t="str"/>
      <x:c r="F29" s="89" t="str"/>
    </x:row>
    <x:row r="30" ht="27" customHeight="1">
      <x:c r="A30" s="105" t="n">
        <x:f>IF(28&lt;=DAY(EOMONTH(DATE('月次レポート'!$B$3,'月次レポート'!$E$3,1),0)),DATE('月次レポート'!$B$3,'月次レポート'!$E$3,28),"")</x:f>
        <x:v>46231</x:v>
      </x:c>
      <x:c r="B30" s="106" t="str">
        <x:f>IF(A30&lt;&gt;"",TEXT(A30,"aaa"),"")</x:f>
        <x:v>aaa</x:v>
      </x:c>
      <x:c r="C30" s="106" t="str"/>
      <x:c r="D30" s="88" t="str"/>
      <x:c r="E30" s="88" t="str"/>
      <x:c r="F30" s="89" t="str"/>
    </x:row>
    <x:row r="31" ht="27" customHeight="1">
      <x:c r="A31" s="105" t="n">
        <x:f>IF(29&lt;=DAY(EOMONTH(DATE('月次レポート'!$B$3,'月次レポート'!$E$3,1),0)),DATE('月次レポート'!$B$3,'月次レポート'!$E$3,29),"")</x:f>
        <x:v>46232</x:v>
      </x:c>
      <x:c r="B31" s="106" t="str">
        <x:f>IF(A31&lt;&gt;"",TEXT(A31,"aaa"),"")</x:f>
        <x:v>aaa</x:v>
      </x:c>
      <x:c r="C31" s="106" t="str"/>
      <x:c r="D31" s="88" t="str"/>
      <x:c r="E31" s="88" t="str"/>
      <x:c r="F31" s="89" t="str"/>
    </x:row>
    <x:row r="32" ht="27" customHeight="1">
      <x:c r="A32" s="105" t="n">
        <x:f>IF(30&lt;=DAY(EOMONTH(DATE('月次レポート'!$B$3,'月次レポート'!$E$3,1),0)),DATE('月次レポート'!$B$3,'月次レポート'!$E$3,30),"")</x:f>
        <x:v>46233</x:v>
      </x:c>
      <x:c r="B32" s="106" t="str">
        <x:f>IF(A32&lt;&gt;"",TEXT(A32,"aaa"),"")</x:f>
        <x:v>aaa</x:v>
      </x:c>
      <x:c r="C32" s="106" t="str"/>
      <x:c r="D32" s="88" t="str"/>
      <x:c r="E32" s="88" t="str"/>
      <x:c r="F32" s="89" t="str"/>
    </x:row>
    <x:row r="33" ht="27" customHeight="1">
      <x:c r="A33" s="107" t="n">
        <x:f>IF(31&lt;=DAY(EOMONTH(DATE('月次レポート'!$B$3,'月次レポート'!$E$3,1),0)),DATE('月次レポート'!$B$3,'月次レポート'!$E$3,31),"")</x:f>
        <x:v>46234</x:v>
      </x:c>
      <x:c r="B33" s="108" t="str">
        <x:f>IF(A33&lt;&gt;"",TEXT(A33,"aaa"),"")</x:f>
        <x:v>aaa</x:v>
      </x:c>
      <x:c r="C33" s="108" t="str"/>
      <x:c r="D33" s="91" t="str"/>
      <x:c r="E33" s="91" t="str"/>
      <x:c r="F33" s="31" t="str"/>
    </x:row>
  </x:sheetData>
  <x:mergeCells>
    <x:mergeCell ref="A1:F1"/>
  </x:mergeCells>
  <x:conditionalFormatting sqref="C3:C33">
    <x:cfRule type="containsText" dxfId="0" priority="1" operator="containsText" text="出席"/>
    <x:cfRule type="containsText" dxfId="1" priority="2" operator="containsText" text="欠席"/>
  </x:conditionalFormatting>
  <x:dataValidations count="1">
    <x:dataValidation type="list" allowBlank="1" showDropDown="0" sqref="C3:C33">
      <x:formula1>"出席,欠席,遅刻,早退,振替"</x:formula1>
    </x:dataValidation>
  </x:dataValidations>
  <x:pageMargins left="0.7" right="0.7" top="0.75" bottom="0.75" header="0.3" footer="0.3"/>
</x:worksheet>
</file>